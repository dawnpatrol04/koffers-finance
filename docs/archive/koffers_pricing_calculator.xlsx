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ffers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"/>
    <numFmt numFmtId="165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color rgb="00FF0000"/>
    </font>
    <font>
      <b val="1"/>
      <sz val="12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10" fontId="0" fillId="3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4" fillId="4" borderId="0" pivotButton="0" quotePrefix="0" xfId="0"/>
    <xf numFmtId="0" fontId="5" fillId="0" borderId="0" pivotButton="0" quotePrefix="0" xfId="0"/>
    <xf numFmtId="165" fontId="5" fillId="5" borderId="0" pivotButton="0" quotePrefix="0" xfId="0"/>
    <xf numFmtId="0" fontId="6" fillId="0" borderId="0" pivotButton="0" quotePrefix="0" xfId="0"/>
    <xf numFmtId="10" fontId="0" fillId="0" borderId="0" pivotButton="0" quotePrefix="0" xfId="0"/>
    <xf numFmtId="165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KOFFERS PRICING CALCULATOR</t>
        </is>
      </c>
    </row>
    <row r="3">
      <c r="A3" s="2" t="inlineStr">
        <is>
          <t>COST INPUTS (Per User Per Month)</t>
        </is>
      </c>
    </row>
    <row r="4">
      <c r="A4" t="inlineStr">
        <is>
          <t>Plaid per bank connection</t>
        </is>
      </c>
      <c r="B4" s="3" t="n">
        <v>0.3</v>
      </c>
      <c r="C4" t="inlineStr">
        <is>
          <t>Fixed cost per bank per month</t>
        </is>
      </c>
    </row>
    <row r="5">
      <c r="A5" t="inlineStr">
        <is>
          <t>Claude API (average)</t>
        </is>
      </c>
      <c r="B5" s="3" t="n">
        <v>0.1</v>
      </c>
      <c r="C5" t="inlineStr">
        <is>
          <t>Average usage estimate</t>
        </is>
      </c>
    </row>
    <row r="6">
      <c r="A6" t="inlineStr">
        <is>
          <t>Appwrite allocated</t>
        </is>
      </c>
      <c r="B6" s="3" t="n">
        <v>0.3</v>
      </c>
      <c r="C6" t="inlineStr">
        <is>
          <t>Database/backend per user</t>
        </is>
      </c>
    </row>
    <row r="7">
      <c r="A7" t="inlineStr">
        <is>
          <t>Vercel allocated</t>
        </is>
      </c>
      <c r="B7" s="3" t="n">
        <v>0.1</v>
      </c>
      <c r="C7" t="inlineStr">
        <is>
          <t>Frontend hosting per user</t>
        </is>
      </c>
    </row>
    <row r="8">
      <c r="A8" t="inlineStr">
        <is>
          <t>Stripe percentage</t>
        </is>
      </c>
      <c r="B8" s="4" t="n">
        <v>0.029</v>
      </c>
      <c r="C8" t="inlineStr">
        <is>
          <t>Payment processing %</t>
        </is>
      </c>
    </row>
    <row r="9">
      <c r="A9" t="inlineStr">
        <is>
          <t>Stripe flat fee</t>
        </is>
      </c>
      <c r="B9" s="3" t="n">
        <v>0.3</v>
      </c>
      <c r="C9" t="inlineStr">
        <is>
          <t>Payment processing flat fee</t>
        </is>
      </c>
    </row>
    <row r="11">
      <c r="A11" s="2" t="inlineStr">
        <is>
          <t>MONTHLY PRICING CALCULATOR</t>
        </is>
      </c>
    </row>
    <row r="12">
      <c r="A12" s="5" t="inlineStr">
        <is>
          <t>Number of Banks</t>
        </is>
      </c>
      <c r="B12" s="5" t="n">
        <v>3</v>
      </c>
      <c r="C12" s="5" t="n">
        <v>6</v>
      </c>
      <c r="D12" s="5" t="n">
        <v>9</v>
      </c>
      <c r="E12" s="5" t="n">
        <v>12</v>
      </c>
    </row>
    <row r="14">
      <c r="A14" s="5" t="inlineStr">
        <is>
          <t>Monthly Base Costs</t>
        </is>
      </c>
    </row>
    <row r="15">
      <c r="A15" t="inlineStr">
        <is>
          <t>Plaid costs</t>
        </is>
      </c>
      <c r="B15" s="6">
        <f>$B$4*B12</f>
        <v/>
      </c>
      <c r="C15" s="6">
        <f>$B$4*C12</f>
        <v/>
      </c>
      <c r="D15" s="6">
        <f>$B$4*D12</f>
        <v/>
      </c>
      <c r="E15" s="6">
        <f>$B$4*E12</f>
        <v/>
      </c>
    </row>
    <row r="16">
      <c r="A16" t="inlineStr">
        <is>
          <t>Claude API</t>
        </is>
      </c>
      <c r="B16" s="6">
        <f>$B$5</f>
        <v/>
      </c>
      <c r="C16" s="6">
        <f>$B$5</f>
        <v/>
      </c>
      <c r="D16" s="6">
        <f>$B$5</f>
        <v/>
      </c>
      <c r="E16" s="6">
        <f>$B$5</f>
        <v/>
      </c>
    </row>
    <row r="17">
      <c r="A17" t="inlineStr">
        <is>
          <t>Appwrite</t>
        </is>
      </c>
      <c r="B17" s="6">
        <f>$B$6</f>
        <v/>
      </c>
      <c r="C17" s="6">
        <f>$B$6</f>
        <v/>
      </c>
      <c r="D17" s="6">
        <f>$B$6</f>
        <v/>
      </c>
      <c r="E17" s="6">
        <f>$B$6</f>
        <v/>
      </c>
    </row>
    <row r="18">
      <c r="A18" t="inlineStr">
        <is>
          <t>Vercel</t>
        </is>
      </c>
      <c r="B18" s="6">
        <f>$B$7</f>
        <v/>
      </c>
      <c r="C18" s="6">
        <f>$B$7</f>
        <v/>
      </c>
      <c r="D18" s="6">
        <f>$B$7</f>
        <v/>
      </c>
      <c r="E18" s="6">
        <f>$B$7</f>
        <v/>
      </c>
    </row>
    <row r="19">
      <c r="A19" s="5" t="inlineStr">
        <is>
          <t>TOTAL MONTHLY BASE COST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</row>
    <row r="21">
      <c r="A21" s="7" t="inlineStr">
        <is>
          <t>OPTION 1: COST + 10% PROFIT</t>
        </is>
      </c>
    </row>
    <row r="23">
      <c r="A23" t="inlineStr">
        <is>
          <t>Target monthly revenue (before Stripe)</t>
        </is>
      </c>
      <c r="B23" s="6">
        <f>B19*1.10</f>
        <v/>
      </c>
      <c r="C23" s="6">
        <f>C19*1.10</f>
        <v/>
      </c>
      <c r="D23" s="6">
        <f>D19*1.10</f>
        <v/>
      </c>
      <c r="E23" s="6">
        <f>E19*1.10</f>
        <v/>
      </c>
    </row>
    <row r="24">
      <c r="A24" t="inlineStr">
        <is>
          <t>Stripe fees on that revenue</t>
        </is>
      </c>
      <c r="B24" s="6">
        <f>(B23*$B$8)+$B$9</f>
        <v/>
      </c>
      <c r="C24" s="6">
        <f>(C23*$B$8)+$B$9</f>
        <v/>
      </c>
      <c r="D24" s="6">
        <f>(D23*$B$8)+$B$9</f>
        <v/>
      </c>
      <c r="E24" s="6">
        <f>(E23*$B$8)+$B$9</f>
        <v/>
      </c>
    </row>
    <row r="25">
      <c r="A25" t="inlineStr">
        <is>
          <t>Required monthly price (includes Stripe)</t>
        </is>
      </c>
      <c r="B25" s="6">
        <f>B23+B24</f>
        <v/>
      </c>
      <c r="C25" s="6">
        <f>C23+C24</f>
        <v/>
      </c>
      <c r="D25" s="6">
        <f>D23+D24</f>
        <v/>
      </c>
      <c r="E25" s="6">
        <f>E23+E24</f>
        <v/>
      </c>
    </row>
    <row r="26">
      <c r="A26" s="8" t="inlineStr">
        <is>
          <t>ROUNDED MONTHLY PRICE</t>
        </is>
      </c>
      <c r="B26" s="9">
        <f>ROUND(B25,2)</f>
        <v/>
      </c>
      <c r="C26" s="9">
        <f>ROUND(C25,2)</f>
        <v/>
      </c>
      <c r="D26" s="9">
        <f>ROUND(D25,2)</f>
        <v/>
      </c>
      <c r="E26" s="9">
        <f>ROUND(E25,2)</f>
        <v/>
      </c>
    </row>
    <row r="28">
      <c r="A28" s="10" t="inlineStr">
        <is>
          <t>Verification (Cost + 10%)</t>
        </is>
      </c>
    </row>
    <row r="29">
      <c r="A29" t="inlineStr">
        <is>
          <t>Net after Stripe fees</t>
        </is>
      </c>
      <c r="B29" s="6">
        <f>B26-(B26*$B$8+$B$9)</f>
        <v/>
      </c>
      <c r="C29" s="6">
        <f>C26-(C26*$B$8+$B$9)</f>
        <v/>
      </c>
      <c r="D29" s="6">
        <f>D26-(D26*$B$8+$B$9)</f>
        <v/>
      </c>
      <c r="E29" s="6">
        <f>E26-(E26*$B$8+$B$9)</f>
        <v/>
      </c>
    </row>
    <row r="30">
      <c r="A30" t="inlineStr">
        <is>
          <t>Minus base costs</t>
        </is>
      </c>
      <c r="B30" s="6">
        <f>B29-B19</f>
        <v/>
      </c>
      <c r="C30" s="6">
        <f>C29-C19</f>
        <v/>
      </c>
      <c r="D30" s="6">
        <f>D29-D19</f>
        <v/>
      </c>
      <c r="E30" s="6">
        <f>E29-E19</f>
        <v/>
      </c>
    </row>
    <row r="31">
      <c r="A31" s="5" t="inlineStr">
        <is>
          <t>Actual profit margin %</t>
        </is>
      </c>
      <c r="B31" s="11">
        <f>B30/B26</f>
        <v/>
      </c>
      <c r="C31" s="11">
        <f>C30/C26</f>
        <v/>
      </c>
      <c r="D31" s="11">
        <f>D30/D26</f>
        <v/>
      </c>
      <c r="E31" s="11">
        <f>E30/E26</f>
        <v/>
      </c>
    </row>
    <row r="33">
      <c r="A33" s="7" t="inlineStr">
        <is>
          <t>OPTION 2: COST + 20% PROFIT</t>
        </is>
      </c>
    </row>
    <row r="35">
      <c r="A35" t="inlineStr">
        <is>
          <t>Target monthly revenue (before Stripe)</t>
        </is>
      </c>
      <c r="B35" s="6">
        <f>B19*1.20</f>
        <v/>
      </c>
      <c r="C35" s="6">
        <f>C19*1.20</f>
        <v/>
      </c>
      <c r="D35" s="6">
        <f>D19*1.20</f>
        <v/>
      </c>
      <c r="E35" s="6">
        <f>E19*1.20</f>
        <v/>
      </c>
    </row>
    <row r="36">
      <c r="A36" t="inlineStr">
        <is>
          <t>Stripe fees on that revenue</t>
        </is>
      </c>
      <c r="B36" s="6">
        <f>(B35*$B$8)+$B$9</f>
        <v/>
      </c>
      <c r="C36" s="6">
        <f>(C35*$B$8)+$B$9</f>
        <v/>
      </c>
      <c r="D36" s="6">
        <f>(D35*$B$8)+$B$9</f>
        <v/>
      </c>
      <c r="E36" s="6">
        <f>(E35*$B$8)+$B$9</f>
        <v/>
      </c>
    </row>
    <row r="37">
      <c r="A37" t="inlineStr">
        <is>
          <t>Required monthly price (includes Stripe)</t>
        </is>
      </c>
      <c r="B37" s="6">
        <f>B35+B36</f>
        <v/>
      </c>
      <c r="C37" s="6">
        <f>C35+C36</f>
        <v/>
      </c>
      <c r="D37" s="6">
        <f>D35+D36</f>
        <v/>
      </c>
      <c r="E37" s="6">
        <f>E35+E36</f>
        <v/>
      </c>
    </row>
    <row r="38">
      <c r="A38" s="8" t="inlineStr">
        <is>
          <t>ROUNDED MONTHLY PRICE</t>
        </is>
      </c>
      <c r="B38" s="9">
        <f>ROUND(B37,2)</f>
        <v/>
      </c>
      <c r="C38" s="9">
        <f>ROUND(C37,2)</f>
        <v/>
      </c>
      <c r="D38" s="9">
        <f>ROUND(D37,2)</f>
        <v/>
      </c>
      <c r="E38" s="9">
        <f>ROUND(E37,2)</f>
        <v/>
      </c>
    </row>
    <row r="40">
      <c r="A40" s="10" t="inlineStr">
        <is>
          <t>Verification (Cost + 20%)</t>
        </is>
      </c>
    </row>
    <row r="41">
      <c r="A41" t="inlineStr">
        <is>
          <t>Net after Stripe fees</t>
        </is>
      </c>
      <c r="B41" s="6">
        <f>B38-(B38*$B$8+$B$9)</f>
        <v/>
      </c>
      <c r="C41" s="6">
        <f>C38-(C38*$B$8+$B$9)</f>
        <v/>
      </c>
      <c r="D41" s="6">
        <f>D38-(D38*$B$8+$B$9)</f>
        <v/>
      </c>
      <c r="E41" s="6">
        <f>E38-(E38*$B$8+$B$9)</f>
        <v/>
      </c>
    </row>
    <row r="42">
      <c r="A42" t="inlineStr">
        <is>
          <t>Minus base costs</t>
        </is>
      </c>
      <c r="B42" s="6">
        <f>B41-B19</f>
        <v/>
      </c>
      <c r="C42" s="6">
        <f>C41-C19</f>
        <v/>
      </c>
      <c r="D42" s="6">
        <f>D41-D19</f>
        <v/>
      </c>
      <c r="E42" s="6">
        <f>E41-E19</f>
        <v/>
      </c>
    </row>
    <row r="43">
      <c r="A43" s="5" t="inlineStr">
        <is>
          <t>Actual profit margin %</t>
        </is>
      </c>
      <c r="B43" s="11">
        <f>B42/B38</f>
        <v/>
      </c>
      <c r="C43" s="11">
        <f>C42/C38</f>
        <v/>
      </c>
      <c r="D43" s="11">
        <f>D42/D38</f>
        <v/>
      </c>
      <c r="E43" s="11">
        <f>E42/E38</f>
        <v/>
      </c>
    </row>
    <row r="45">
      <c r="A45" s="2" t="inlineStr">
        <is>
          <t>ANNUAL PRICING CALCULATOR</t>
        </is>
      </c>
    </row>
    <row r="46">
      <c r="A46" s="5" t="inlineStr">
        <is>
          <t>Number of Banks</t>
        </is>
      </c>
      <c r="B46" s="5" t="n">
        <v>3</v>
      </c>
      <c r="C46" s="5" t="n">
        <v>6</v>
      </c>
      <c r="D46" s="5" t="n">
        <v>9</v>
      </c>
      <c r="E46" s="5" t="n">
        <v>12</v>
      </c>
    </row>
    <row r="48">
      <c r="A48" s="5" t="inlineStr">
        <is>
          <t>Total Annual Base Cost</t>
        </is>
      </c>
      <c r="B48" s="6">
        <f>B19*12</f>
        <v/>
      </c>
      <c r="C48" s="6">
        <f>C19*12</f>
        <v/>
      </c>
      <c r="D48" s="6">
        <f>D19*12</f>
        <v/>
      </c>
      <c r="E48" s="6">
        <f>E19*12</f>
        <v/>
      </c>
    </row>
    <row r="50">
      <c r="A50" s="7" t="inlineStr">
        <is>
          <t>OPTION 1: COST + 10% PROFIT (ANNUAL)</t>
        </is>
      </c>
    </row>
    <row r="52">
      <c r="A52" t="inlineStr">
        <is>
          <t>Target annual revenue (before Stripe)</t>
        </is>
      </c>
      <c r="B52" s="6">
        <f>B48*1.10</f>
        <v/>
      </c>
      <c r="C52" s="6">
        <f>C48*1.10</f>
        <v/>
      </c>
      <c r="D52" s="6">
        <f>D48*1.10</f>
        <v/>
      </c>
      <c r="E52" s="6">
        <f>E48*1.10</f>
        <v/>
      </c>
    </row>
    <row r="53">
      <c r="A53" t="inlineStr">
        <is>
          <t>Stripe fees on that revenue</t>
        </is>
      </c>
      <c r="B53" s="6">
        <f>(B52*$B$8)+$B$9</f>
        <v/>
      </c>
      <c r="C53" s="6">
        <f>(C52*$B$8)+$B$9</f>
        <v/>
      </c>
      <c r="D53" s="6">
        <f>(D52*$B$8)+$B$9</f>
        <v/>
      </c>
      <c r="E53" s="6">
        <f>(E52*$B$8)+$B$9</f>
        <v/>
      </c>
    </row>
    <row r="54">
      <c r="A54" t="inlineStr">
        <is>
          <t>Required annual price (includes Stripe)</t>
        </is>
      </c>
      <c r="B54" s="6">
        <f>B52+B53</f>
        <v/>
      </c>
      <c r="C54" s="6">
        <f>C52+C53</f>
        <v/>
      </c>
      <c r="D54" s="6">
        <f>D52+D53</f>
        <v/>
      </c>
      <c r="E54" s="6">
        <f>E52+E53</f>
        <v/>
      </c>
    </row>
    <row r="55">
      <c r="A55" s="8" t="inlineStr">
        <is>
          <t>ROUNDED ANNUAL PRICE</t>
        </is>
      </c>
      <c r="B55" s="12">
        <f>ROUND(B54,2)</f>
        <v/>
      </c>
      <c r="C55" s="12">
        <f>ROUND(C54,2)</f>
        <v/>
      </c>
      <c r="D55" s="12">
        <f>ROUND(D54,2)</f>
        <v/>
      </c>
      <c r="E55" s="12">
        <f>ROUND(E54,2)</f>
        <v/>
      </c>
    </row>
    <row r="56">
      <c r="A56" t="inlineStr">
        <is>
          <t>Monthly equivalent</t>
        </is>
      </c>
      <c r="B56" s="6">
        <f>B55/12</f>
        <v/>
      </c>
      <c r="C56" s="6">
        <f>C55/12</f>
        <v/>
      </c>
      <c r="D56" s="6">
        <f>D55/12</f>
        <v/>
      </c>
      <c r="E56" s="6">
        <f>E55/12</f>
        <v/>
      </c>
    </row>
    <row r="57">
      <c r="A57" s="5" t="inlineStr">
        <is>
          <t>Actual profit margin %</t>
        </is>
      </c>
      <c r="B57" s="11">
        <f>(B55-(B55*$B$8+$B$9)-B48)/B55</f>
        <v/>
      </c>
      <c r="C57" s="11">
        <f>(C55-(C55*$B$8+$B$9)-C48)/C55</f>
        <v/>
      </c>
      <c r="D57" s="11">
        <f>(D55-(D55*$B$8+$B$9)-D48)/D55</f>
        <v/>
      </c>
      <c r="E57" s="11">
        <f>(E55-(E55*$B$8+$B$9)-E48)/E55</f>
        <v/>
      </c>
    </row>
    <row r="59">
      <c r="A59" s="7" t="inlineStr">
        <is>
          <t>OPTION 2: COST + 20% PROFIT (ANNUAL)</t>
        </is>
      </c>
    </row>
    <row r="61">
      <c r="A61" t="inlineStr">
        <is>
          <t>Target annual revenue (before Stripe)</t>
        </is>
      </c>
      <c r="B61" s="6">
        <f>B48*1.20</f>
        <v/>
      </c>
      <c r="C61" s="6">
        <f>C48*1.20</f>
        <v/>
      </c>
      <c r="D61" s="6">
        <f>D48*1.20</f>
        <v/>
      </c>
      <c r="E61" s="6">
        <f>E48*1.20</f>
        <v/>
      </c>
    </row>
    <row r="62">
      <c r="A62" t="inlineStr">
        <is>
          <t>Stripe fees on that revenue</t>
        </is>
      </c>
      <c r="B62" s="6">
        <f>(B61*$B$8)+$B$9</f>
        <v/>
      </c>
      <c r="C62" s="6">
        <f>(C61*$B$8)+$B$9</f>
        <v/>
      </c>
      <c r="D62" s="6">
        <f>(D61*$B$8)+$B$9</f>
        <v/>
      </c>
      <c r="E62" s="6">
        <f>(E61*$B$8)+$B$9</f>
        <v/>
      </c>
    </row>
    <row r="63">
      <c r="A63" t="inlineStr">
        <is>
          <t>Required annual price (includes Stripe)</t>
        </is>
      </c>
      <c r="B63" s="6">
        <f>B61+B62</f>
        <v/>
      </c>
      <c r="C63" s="6">
        <f>C61+C62</f>
        <v/>
      </c>
      <c r="D63" s="6">
        <f>D61+D62</f>
        <v/>
      </c>
      <c r="E63" s="6">
        <f>E61+E62</f>
        <v/>
      </c>
    </row>
    <row r="64">
      <c r="A64" s="8" t="inlineStr">
        <is>
          <t>ROUNDED ANNUAL PRICE</t>
        </is>
      </c>
      <c r="B64" s="12">
        <f>ROUND(B63,2)</f>
        <v/>
      </c>
      <c r="C64" s="12">
        <f>ROUND(C63,2)</f>
        <v/>
      </c>
      <c r="D64" s="12">
        <f>ROUND(D63,2)</f>
        <v/>
      </c>
      <c r="E64" s="12">
        <f>ROUND(E63,2)</f>
        <v/>
      </c>
    </row>
    <row r="65">
      <c r="A65" t="inlineStr">
        <is>
          <t>Monthly equivalent</t>
        </is>
      </c>
      <c r="B65" s="6">
        <f>B64/12</f>
        <v/>
      </c>
      <c r="C65" s="6">
        <f>C64/12</f>
        <v/>
      </c>
      <c r="D65" s="6">
        <f>D64/12</f>
        <v/>
      </c>
      <c r="E65" s="6">
        <f>E64/12</f>
        <v/>
      </c>
    </row>
    <row r="66">
      <c r="A66" s="5" t="inlineStr">
        <is>
          <t>Actual profit margin %</t>
        </is>
      </c>
      <c r="B66" s="11">
        <f>(B64-(B64*$B$8+$B$9)-B48)/B64</f>
        <v/>
      </c>
      <c r="C66" s="11">
        <f>(C64-(C64*$B$8+$B$9)-C48)/C64</f>
        <v/>
      </c>
      <c r="D66" s="11">
        <f>(D64-(D64*$B$8+$B$9)-D48)/D64</f>
        <v/>
      </c>
      <c r="E66" s="11">
        <f>(E64-(E64*$B$8+$B$9)-E48)/E64</f>
        <v/>
      </c>
    </row>
  </sheetData>
  <mergeCells count="8">
    <mergeCell ref="A21:E21"/>
    <mergeCell ref="A50:E50"/>
    <mergeCell ref="A59:E59"/>
    <mergeCell ref="A33:E33"/>
    <mergeCell ref="A11:E11"/>
    <mergeCell ref="A1:E1"/>
    <mergeCell ref="A3:C3"/>
    <mergeCell ref="A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2025-11-13T18:16:21Z</dcterms:created>
  <dcterms:modified xsi:type="dcterms:W3CDTF">2025-11-13T18:16:21Z</dcterms:modified>
</cp:coreProperties>
</file>